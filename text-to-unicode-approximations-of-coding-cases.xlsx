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rite\Desktop\"/>
    </mc:Choice>
  </mc:AlternateContent>
  <xr:revisionPtr revIDLastSave="0" documentId="13_ncr:1_{CD43F8FD-9A60-47E7-A34C-D71985C342C2}" xr6:coauthVersionLast="47" xr6:coauthVersionMax="47" xr10:uidLastSave="{00000000-0000-0000-0000-000000000000}"/>
  <bookViews>
    <workbookView xWindow="8265" yWindow="2055" windowWidth="28800" windowHeight="15345" xr2:uid="{00000000-000D-0000-FFFF-FFFF00000000}"/>
  </bookViews>
  <sheets>
    <sheet name="CaseConverter" sheetId="1" r:id="rId1"/>
    <sheet name="DataMap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4" i="1"/>
  <c r="C6" i="1"/>
  <c r="C5" i="1"/>
  <c r="C3" i="1"/>
  <c r="C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<sst xmlns="http://schemas.openxmlformats.org/spreadsheetml/2006/main" count="122" uniqueCount="120">
  <si>
    <t>Camel Case</t>
  </si>
  <si>
    <t>Pascal Case</t>
  </si>
  <si>
    <t>Snake Case</t>
  </si>
  <si>
    <t>Kebab Case</t>
  </si>
  <si>
    <t>Studly Vowels</t>
  </si>
  <si>
    <t>Studly Consonants</t>
  </si>
  <si>
    <t>Sarcasm Case</t>
  </si>
  <si>
    <t>Rhino Case</t>
  </si>
  <si>
    <t>ChronicRhyno Case</t>
  </si>
  <si>
    <t>Studly Rhino Case</t>
  </si>
  <si>
    <t>Inchworm Case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</si>
  <si>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</si>
  <si>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</si>
  <si>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</si>
  <si>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</si>
  <si>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</si>
  <si>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</si>
  <si>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</si>
  <si>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</si>
  <si>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</si>
  <si>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</si>
  <si>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</si>
  <si>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</si>
  <si>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</si>
  <si>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</si>
  <si>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</si>
  <si>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</si>
  <si>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</si>
  <si>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</si>
  <si>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</si>
  <si>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</si>
  <si>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</si>
  <si>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</si>
  <si>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</si>
  <si>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</si>
  <si>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</si>
  <si>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</si>
  <si>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ₐ</t>
  </si>
  <si>
    <t>ᵦ</t>
  </si>
  <si>
    <t>꜀</t>
  </si>
  <si>
    <t>ᑯ</t>
  </si>
  <si>
    <t>ₑ</t>
  </si>
  <si>
    <t>բ</t>
  </si>
  <si>
    <t>₉</t>
  </si>
  <si>
    <t>ₕ</t>
  </si>
  <si>
    <t>ᵢ</t>
  </si>
  <si>
    <t>ⱼ</t>
  </si>
  <si>
    <t>ₖ</t>
  </si>
  <si>
    <t>ₗ</t>
  </si>
  <si>
    <t>ₘ</t>
  </si>
  <si>
    <t>ₙ</t>
  </si>
  <si>
    <t>ₒ</t>
  </si>
  <si>
    <t>ₚ</t>
  </si>
  <si>
    <t>ᵩ</t>
  </si>
  <si>
    <t>ᵣ</t>
  </si>
  <si>
    <t>ₛ</t>
  </si>
  <si>
    <t>ₜ</t>
  </si>
  <si>
    <t>ᵤ</t>
  </si>
  <si>
    <t>ᵥ</t>
  </si>
  <si>
    <t>ₓ</t>
  </si>
  <si>
    <t>ᵧ</t>
  </si>
  <si>
    <t>𝒛</t>
  </si>
  <si>
    <t>ᵃ</t>
  </si>
  <si>
    <t>ᵇ</t>
  </si>
  <si>
    <t>ᶜ</t>
  </si>
  <si>
    <t>ᵈ</t>
  </si>
  <si>
    <t>ᵉ</t>
  </si>
  <si>
    <t>ᶠ</t>
  </si>
  <si>
    <t>ᵍ</t>
  </si>
  <si>
    <t>ʰ</t>
  </si>
  <si>
    <t>ⁱ</t>
  </si>
  <si>
    <t>ʲ</t>
  </si>
  <si>
    <t>ᵏ</t>
  </si>
  <si>
    <t>ˡ</t>
  </si>
  <si>
    <t>ᵐ</t>
  </si>
  <si>
    <t>ⁿ</t>
  </si>
  <si>
    <t>ᵒ</t>
  </si>
  <si>
    <t>ᵖ</t>
  </si>
  <si>
    <t>ᵠ</t>
  </si>
  <si>
    <t>ʳ</t>
  </si>
  <si>
    <t>ˢ</t>
  </si>
  <si>
    <t>ᵗ</t>
  </si>
  <si>
    <t>ᵘ</t>
  </si>
  <si>
    <t>ᵛ</t>
  </si>
  <si>
    <t>ʷ</t>
  </si>
  <si>
    <t>ˣ</t>
  </si>
  <si>
    <t>ʸ</t>
  </si>
  <si>
    <t>ᶻ</t>
  </si>
  <si>
    <t>ᴀ</t>
  </si>
  <si>
    <t>ʙ</t>
  </si>
  <si>
    <t>ᴄ</t>
  </si>
  <si>
    <t>ᴅ</t>
  </si>
  <si>
    <t>ᴇ</t>
  </si>
  <si>
    <t>ɢ</t>
  </si>
  <si>
    <t>ʜ</t>
  </si>
  <si>
    <t>ɪ</t>
  </si>
  <si>
    <t>ᴊ</t>
  </si>
  <si>
    <t>ᴋ</t>
  </si>
  <si>
    <t>ʟ</t>
  </si>
  <si>
    <t>ᴍ</t>
  </si>
  <si>
    <t>ɴ</t>
  </si>
  <si>
    <t>ᴏ</t>
  </si>
  <si>
    <t>ᴘ</t>
  </si>
  <si>
    <t>ǫ</t>
  </si>
  <si>
    <t>ʀ</t>
  </si>
  <si>
    <t>ꜱ</t>
  </si>
  <si>
    <t>ᴛ</t>
  </si>
  <si>
    <t>ᴜ</t>
  </si>
  <si>
    <t>ᴠ</t>
  </si>
  <si>
    <t>ᴡ</t>
  </si>
  <si>
    <t>ʏ</t>
  </si>
  <si>
    <t>ᴢ</t>
  </si>
  <si>
    <t>Input (Col A)</t>
  </si>
  <si>
    <t>Subscript (Col B)</t>
  </si>
  <si>
    <t>Superscript (Col C)</t>
  </si>
  <si>
    <t>Small Caps (Col D)</t>
  </si>
  <si>
    <t>ꜰ</t>
  </si>
  <si>
    <t>ENTER TEXT:</t>
  </si>
  <si>
    <t>Zebra Case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</si>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</sst>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1" fillId="0" borderId="3" xfId="0" applyFont="1" applyBorder="1" applyProtection="1">
      <protection locked="0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showRowColHeaders="0" showZeros="0" tabSelected="1" zoomScale="320" zoomScaleNormal="320" workbookViewId="0">
      <selection activeCell="C13" sqref="C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4" customWidth="1"/>
    <col min="2" max="2" width="19.28515625" style="7" customWidth="1"/>
    <col min="3" max="3" width="32.7109375" customWidth="1"/>
    <col min="4" max="16384" width="9.140625" hidden="1"/>
  </cols>
  <sheetData>
    <row r="1" spans="1:3" x14ac:dyDescent="0.25">
      <c r="B1" s="5" t="s">
        <v>117</v>
      </c>
      <c r="C1" s="4" t="s">
        <v>119</v>
      </c>
    </row>
    <row r="2" spans="1:3" x14ac:dyDescent="0.25">
      <c r="A2" cm="1">
        <f t="array" ref="A2:A13">_xlfn.SEQUENCE(12, 1, 1, 1)</f>
        <v>1</v>
      </c>
      <c r="B2" s="6" t="s">
        <v>0</v>
      </c>
      <c r="C2" t="str">
        <f>_xlfn.LET(
    _xlpm.text, SUBSTITUTE(PROPER(TRIM(C1)), " ", ""),
    REPLACE(_xlpm.text, 1, 1, LOWER(LEFT(_xlpm.text, 1)))
)</f>
        <v>test</v>
      </c>
    </row>
    <row r="3" spans="1:3" x14ac:dyDescent="0.25">
      <c r="A3">
        <v>2</v>
      </c>
      <c r="B3" s="6" t="s">
        <v>1</v>
      </c>
      <c r="C3" t="str">
        <f>SUBSTITUTE(PROPER(TRIM(C1)), " ", "")</f>
        <v>Test</v>
      </c>
    </row>
    <row r="4" spans="1:3" x14ac:dyDescent="0.25">
      <c r="A4">
        <v>3</v>
      </c>
      <c r="B4" s="6" t="s">
        <v>118</v>
      </c>
      <c r="C4" t="str">
        <f>LOWER(SUBSTITUTE(TRIM(C1), " ", "|"))</f>
        <v>test</v>
      </c>
    </row>
    <row r="5" spans="1:3" x14ac:dyDescent="0.25">
      <c r="A5">
        <v>4</v>
      </c>
      <c r="B5" s="6" t="s">
        <v>3</v>
      </c>
      <c r="C5" t="str">
        <f>LOWER(SUBSTITUTE(TRIM(C1), " ", "-"))</f>
        <v>test</v>
      </c>
    </row>
    <row r="6" spans="1:3" x14ac:dyDescent="0.25">
      <c r="A6">
        <v>5</v>
      </c>
      <c r="B6" s="6" t="s">
        <v>2</v>
      </c>
      <c r="C6" t="str">
        <f>LOWER(SUBSTITUTE(TRIM(C1), " ", "_"))</f>
        <v>test</v>
      </c>
    </row>
    <row r="7" spans="1:3" x14ac:dyDescent="0.25">
      <c r="A7">
        <v>6</v>
      </c>
      <c r="B7" s="6" t="s">
        <v>10</v>
      </c>
      <c r="C7" t="str" cm="1">
        <f t="array" ref="C7">IF(C1="", "", _xlfn.LET(
    _xlpm.words, _xlfn.TEXTSPLIT(C1, " "),
    _xlfn.CONCAT(_xlfn.MAP(_xlfn.SEQUENCE(1, COLUMNS(_xlpm.words)), _xlfn.LAMBDA(_xlpm.i,
        _xlfn.LET(_xlpm.word, INDEX(_xlpm.words, 1, _xlpm.i),
            _xlpm.charArr, MID(_xlpm.word, _xlfn.SEQUENCE(LEN(_xlpm.word)), 1),
            IF(ISODD(_xlpm.i),
                _xlfn.CONCAT(_xlfn.XLOOKUP(_xlpm.charArr, DataMap!$A$2:$A$27, DataMap!$B$2:$B$27, _xlpm.charArr)),
                _xlfn.CONCAT(_xlfn.XLOOKUP(_xlpm.charArr, DataMap!$A$2:$A$27, DataMap!$C$2:$C$27, _xlpm.charArr))
            )
        )
    )))
))</f>
        <v>ₜₑₛₜ</v>
      </c>
    </row>
    <row r="8" spans="1:3" x14ac:dyDescent="0.25">
      <c r="A8">
        <v>7</v>
      </c>
      <c r="B8" s="6" t="s">
        <v>6</v>
      </c>
      <c r="C8" t="str" cm="1">
        <f t="array" ref="C8">IF(C1="", "", _xlfn.LET(
    _xlpm.txt, C1,
    _xlpm.chars, MID(_xlpm.txt, _xlfn.SEQUENCE(LEN(_xlpm.txt)), 1),
    _xlpm.indices, _xlfn.SCAN(0, _xlpm.chars, _xlfn.LAMBDA(_xlpm.a,_xlpm.b, IF(_xlpm.b=" ", _xlpm.a, _xlpm.a+1))),
    _xlfn.CONCAT(_xlfn.MAP(_xlpm.chars, _xlpm.indices, _xlfn.LAMBDA(_xlpm.c,_xlpm.i,
        IF(_xlpm.c=" ", " ",
            IF(ISODD(_xlpm.i), LOWER(_xlpm.c), UPPER(_xlpm.c))
        )
    )))
))</f>
        <v>tEsT</v>
      </c>
    </row>
    <row r="9" spans="1:3" x14ac:dyDescent="0.25">
      <c r="A9">
        <v>8</v>
      </c>
      <c r="B9" s="6" t="s">
        <v>4</v>
      </c>
      <c r="C9" t="str" cm="1">
        <f t="array" ref="C9">IF(C1="", "", _xlfn.CONCAT(_xlfn.MAP(MID(C1, _xlfn.SEQUENCE(LEN(C1)), 1), _xlfn.LAMBDA(_xlpm.c,
    IF(ISNUMBER(SEARCH(_xlpm.c, "aeiouAEIOU")), UPPER(_xlpm.c), LOWER(_xlpm.c))
))))</f>
        <v>tEst</v>
      </c>
    </row>
    <row r="10" spans="1:3" x14ac:dyDescent="0.25">
      <c r="A10">
        <v>9</v>
      </c>
      <c r="B10" s="6" t="s">
        <v>5</v>
      </c>
      <c r="C10" t="str" cm="1">
        <f t="array" ref="C10">IF(C1="", "", _xlfn.CONCAT(_xlfn.MAP(MID(C1, _xlfn.SEQUENCE(LEN(C1)), 1), _xlfn.LAMBDA(_xlpm.c,
    IF(ISNUMBER(SEARCH(_xlpm.c, "aeiouAEIOU")), LOWER(_xlpm.c), UPPER(_xlpm.c))
))))</f>
        <v>TeST</v>
      </c>
    </row>
    <row r="11" spans="1:3" x14ac:dyDescent="0.25">
      <c r="A11">
        <v>10</v>
      </c>
      <c r="B11" s="6" t="s">
        <v>7</v>
      </c>
      <c r="C11" t="str" cm="1">
        <f t="array" ref="C11">IF(C1="", "", _xlfn.LET(
    _xlpm.pascal, SUBSTITUTE(PROPER(C1), " ", ""),
    _xlpm.camel, LOWER(LEFT(_xlpm.pascal, 1)) &amp; MID(_xlpm.pascal, 2, LEN(_xlpm.pascal)),
    _xlpm.chars, MID(_xlpm.camel, _xlfn.SEQUENCE(LEN(_xlpm.camel)), 1),
    _xlfn.CONCAT(_xlfn.MAP(_xlpm.chars, _xlfn.LAMBDA(_xlpm.c,
        IF(EXACT(_xlpm.c, UPPER(_xlpm.c)), _xlpm.c,
            _xlfn.XLOOKUP(_xlpm.c, DataMap!$A$2:$A$27, DataMap!$D$2:$D$27, _xlpm.c)
        )
    )))
))</f>
        <v>ᴛᴇꜱᴛ</v>
      </c>
    </row>
    <row r="12" spans="1:3" x14ac:dyDescent="0.25">
      <c r="A12">
        <v>11</v>
      </c>
      <c r="B12" s="6" t="s">
        <v>8</v>
      </c>
      <c r="C12" t="str" cm="1">
        <f t="array" ref="C12">IF(C1="", "", _xlfn.LET(
    _xlpm.camelTxt, SUBSTITUTE(PROPER(C1), " ", ""),
    _xlpm.chars, MID(_xlpm.camelTxt, _xlfn.SEQUENCE(LEN(_xlpm.camelTxt)), 1),
    _xlfn.CONCAT(_xlfn.MAP(_xlpm.chars, _xlfn.LAMBDA(_xlpm.c,
        IF(EXACT(_xlpm.c, UPPER(_xlpm.c)), _xlpm.c,
            _xlfn.XLOOKUP(_xlpm.c, DataMap!$A$2:$A$27, DataMap!$D$2:$D$27, _xlpm.c)
        )
    )))
))</f>
        <v>Tᴇꜱᴛ</v>
      </c>
    </row>
    <row r="13" spans="1:3" x14ac:dyDescent="0.25">
      <c r="A13">
        <v>12</v>
      </c>
      <c r="B13" s="6" t="s">
        <v>9</v>
      </c>
      <c r="C13" s="1" t="str" cm="1">
        <f t="array" ref="C13">IF(C1="", "", _xlfn.CONCAT(_xlfn.MAP(MID(C1, _xlfn.SEQUENCE(LEN(C1)), 1), _xlfn.LAMBDA(_xlpm.c,
    IF(_xlpm.c=" ", " ",
        IF(ISNUMBER(SEARCH(_xlpm.c, "aeiouAEIOU")), UPPER(_xlpm.c),
            _xlfn.XLOOKUP(LOWER(_xlpm.c), DataMap!$A$2:$A$27, DataMap!$D$2:$D$27, _xlpm.c)
        )
    )
))))</f>
        <v>ᴛEꜱᴛ</v>
      </c>
    </row>
  </sheetData>
  <sheetProtection sheet="1" objects="1" scenarios="1"/>
  <dataValidations count="1">
    <dataValidation type="textLength" operator="lessThanOrEqual" allowBlank="1" showInputMessage="1" showErrorMessage="1" sqref="C1" xr:uid="{BF953124-9185-4695-96D6-04AE5C278417}">
      <formula1>100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891-2778-4E2C-BC47-F7FFF9F6B74C}">
  <dimension ref="A1:D27"/>
  <sheetViews>
    <sheetView workbookViewId="0">
      <selection activeCell="I27" sqref="I27"/>
    </sheetView>
  </sheetViews>
  <sheetFormatPr defaultRowHeight="15" x14ac:dyDescent="0.25"/>
  <sheetData>
    <row r="1" spans="1:4" ht="60.75" thickBot="1" x14ac:dyDescent="0.3">
      <c r="A1" s="2" t="s">
        <v>112</v>
      </c>
      <c r="B1" s="2" t="s">
        <v>113</v>
      </c>
      <c r="C1" s="2" t="s">
        <v>114</v>
      </c>
      <c r="D1" s="2" t="s">
        <v>115</v>
      </c>
    </row>
    <row r="2" spans="1:4" ht="15.75" thickBot="1" x14ac:dyDescent="0.3">
      <c r="A2" s="2" t="s">
        <v>11</v>
      </c>
      <c r="B2" s="3" t="s">
        <v>37</v>
      </c>
      <c r="C2" s="3" t="s">
        <v>62</v>
      </c>
      <c r="D2" s="3" t="s">
        <v>88</v>
      </c>
    </row>
    <row r="3" spans="1:4" ht="15.75" thickBot="1" x14ac:dyDescent="0.3">
      <c r="A3" s="2" t="s">
        <v>12</v>
      </c>
      <c r="B3" s="3" t="s">
        <v>38</v>
      </c>
      <c r="C3" s="3" t="s">
        <v>63</v>
      </c>
      <c r="D3" s="3" t="s">
        <v>89</v>
      </c>
    </row>
    <row r="4" spans="1:4" ht="15.75" thickBot="1" x14ac:dyDescent="0.3">
      <c r="A4" s="2" t="s">
        <v>13</v>
      </c>
      <c r="B4" s="3" t="s">
        <v>39</v>
      </c>
      <c r="C4" s="3" t="s">
        <v>64</v>
      </c>
      <c r="D4" s="3" t="s">
        <v>90</v>
      </c>
    </row>
    <row r="5" spans="1:4" ht="15.75" thickBot="1" x14ac:dyDescent="0.3">
      <c r="A5" s="2" t="s">
        <v>14</v>
      </c>
      <c r="B5" s="3" t="s">
        <v>40</v>
      </c>
      <c r="C5" s="3" t="s">
        <v>65</v>
      </c>
      <c r="D5" s="3" t="s">
        <v>91</v>
      </c>
    </row>
    <row r="6" spans="1:4" ht="15.75" thickBot="1" x14ac:dyDescent="0.3">
      <c r="A6" s="2" t="s">
        <v>15</v>
      </c>
      <c r="B6" s="3" t="s">
        <v>41</v>
      </c>
      <c r="C6" s="3" t="s">
        <v>66</v>
      </c>
      <c r="D6" s="3" t="s">
        <v>92</v>
      </c>
    </row>
    <row r="7" spans="1:4" ht="15.75" thickBot="1" x14ac:dyDescent="0.3">
      <c r="A7" s="2" t="s">
        <v>16</v>
      </c>
      <c r="B7" s="3" t="s">
        <v>42</v>
      </c>
      <c r="C7" s="3" t="s">
        <v>67</v>
      </c>
      <c r="D7" s="3" t="s">
        <v>116</v>
      </c>
    </row>
    <row r="8" spans="1:4" ht="15.75" thickBot="1" x14ac:dyDescent="0.3">
      <c r="A8" s="2" t="s">
        <v>17</v>
      </c>
      <c r="B8" s="3" t="s">
        <v>43</v>
      </c>
      <c r="C8" s="3" t="s">
        <v>68</v>
      </c>
      <c r="D8" s="3" t="s">
        <v>93</v>
      </c>
    </row>
    <row r="9" spans="1:4" ht="15.75" thickBot="1" x14ac:dyDescent="0.3">
      <c r="A9" s="2" t="s">
        <v>18</v>
      </c>
      <c r="B9" s="3" t="s">
        <v>44</v>
      </c>
      <c r="C9" s="3" t="s">
        <v>69</v>
      </c>
      <c r="D9" s="3" t="s">
        <v>94</v>
      </c>
    </row>
    <row r="10" spans="1:4" ht="15.75" thickBot="1" x14ac:dyDescent="0.3">
      <c r="A10" s="2" t="s">
        <v>19</v>
      </c>
      <c r="B10" s="3" t="s">
        <v>45</v>
      </c>
      <c r="C10" s="3" t="s">
        <v>70</v>
      </c>
      <c r="D10" s="3" t="s">
        <v>95</v>
      </c>
    </row>
    <row r="11" spans="1:4" ht="15.75" thickBot="1" x14ac:dyDescent="0.3">
      <c r="A11" s="2" t="s">
        <v>20</v>
      </c>
      <c r="B11" s="3" t="s">
        <v>46</v>
      </c>
      <c r="C11" s="3" t="s">
        <v>71</v>
      </c>
      <c r="D11" s="3" t="s">
        <v>96</v>
      </c>
    </row>
    <row r="12" spans="1:4" ht="15.75" thickBot="1" x14ac:dyDescent="0.3">
      <c r="A12" s="2" t="s">
        <v>21</v>
      </c>
      <c r="B12" s="3" t="s">
        <v>47</v>
      </c>
      <c r="C12" s="3" t="s">
        <v>72</v>
      </c>
      <c r="D12" s="3" t="s">
        <v>97</v>
      </c>
    </row>
    <row r="13" spans="1:4" ht="15.75" thickBot="1" x14ac:dyDescent="0.3">
      <c r="A13" s="2" t="s">
        <v>22</v>
      </c>
      <c r="B13" s="3" t="s">
        <v>48</v>
      </c>
      <c r="C13" s="3" t="s">
        <v>73</v>
      </c>
      <c r="D13" s="3" t="s">
        <v>98</v>
      </c>
    </row>
    <row r="14" spans="1:4" ht="15.75" thickBot="1" x14ac:dyDescent="0.3">
      <c r="A14" s="2" t="s">
        <v>23</v>
      </c>
      <c r="B14" s="3" t="s">
        <v>49</v>
      </c>
      <c r="C14" s="3" t="s">
        <v>74</v>
      </c>
      <c r="D14" s="3" t="s">
        <v>99</v>
      </c>
    </row>
    <row r="15" spans="1:4" ht="15.75" thickBot="1" x14ac:dyDescent="0.3">
      <c r="A15" s="2" t="s">
        <v>24</v>
      </c>
      <c r="B15" s="3" t="s">
        <v>50</v>
      </c>
      <c r="C15" s="3" t="s">
        <v>75</v>
      </c>
      <c r="D15" s="3" t="s">
        <v>100</v>
      </c>
    </row>
    <row r="16" spans="1:4" ht="15.75" thickBot="1" x14ac:dyDescent="0.3">
      <c r="A16" s="2" t="s">
        <v>25</v>
      </c>
      <c r="B16" s="3" t="s">
        <v>51</v>
      </c>
      <c r="C16" s="3" t="s">
        <v>76</v>
      </c>
      <c r="D16" s="3" t="s">
        <v>101</v>
      </c>
    </row>
    <row r="17" spans="1:4" ht="15.75" thickBot="1" x14ac:dyDescent="0.3">
      <c r="A17" s="2" t="s">
        <v>26</v>
      </c>
      <c r="B17" s="3" t="s">
        <v>52</v>
      </c>
      <c r="C17" s="3" t="s">
        <v>77</v>
      </c>
      <c r="D17" s="3" t="s">
        <v>102</v>
      </c>
    </row>
    <row r="18" spans="1:4" ht="15.75" thickBot="1" x14ac:dyDescent="0.3">
      <c r="A18" s="2" t="s">
        <v>27</v>
      </c>
      <c r="B18" s="3" t="s">
        <v>53</v>
      </c>
      <c r="C18" s="3" t="s">
        <v>78</v>
      </c>
      <c r="D18" s="3" t="s">
        <v>103</v>
      </c>
    </row>
    <row r="19" spans="1:4" ht="15.75" thickBot="1" x14ac:dyDescent="0.3">
      <c r="A19" s="2" t="s">
        <v>28</v>
      </c>
      <c r="B19" s="3" t="s">
        <v>54</v>
      </c>
      <c r="C19" s="3" t="s">
        <v>79</v>
      </c>
      <c r="D19" s="3" t="s">
        <v>104</v>
      </c>
    </row>
    <row r="20" spans="1:4" ht="15.75" thickBot="1" x14ac:dyDescent="0.3">
      <c r="A20" s="2" t="s">
        <v>29</v>
      </c>
      <c r="B20" s="3" t="s">
        <v>55</v>
      </c>
      <c r="C20" s="3" t="s">
        <v>80</v>
      </c>
      <c r="D20" s="3" t="s">
        <v>105</v>
      </c>
    </row>
    <row r="21" spans="1:4" ht="15.75" thickBot="1" x14ac:dyDescent="0.3">
      <c r="A21" s="2" t="s">
        <v>30</v>
      </c>
      <c r="B21" s="3" t="s">
        <v>56</v>
      </c>
      <c r="C21" s="3" t="s">
        <v>81</v>
      </c>
      <c r="D21" s="3" t="s">
        <v>106</v>
      </c>
    </row>
    <row r="22" spans="1:4" ht="15.75" thickBot="1" x14ac:dyDescent="0.3">
      <c r="A22" s="2" t="s">
        <v>31</v>
      </c>
      <c r="B22" s="3" t="s">
        <v>57</v>
      </c>
      <c r="C22" s="3" t="s">
        <v>82</v>
      </c>
      <c r="D22" s="3" t="s">
        <v>107</v>
      </c>
    </row>
    <row r="23" spans="1:4" ht="15.75" thickBot="1" x14ac:dyDescent="0.3">
      <c r="A23" s="2" t="s">
        <v>32</v>
      </c>
      <c r="B23" s="3" t="s">
        <v>58</v>
      </c>
      <c r="C23" s="3" t="s">
        <v>83</v>
      </c>
      <c r="D23" s="3" t="s">
        <v>108</v>
      </c>
    </row>
    <row r="24" spans="1:4" ht="15.75" thickBot="1" x14ac:dyDescent="0.3">
      <c r="A24" s="2" t="s">
        <v>33</v>
      </c>
      <c r="B24" s="3" t="s">
        <v>33</v>
      </c>
      <c r="C24" s="3" t="s">
        <v>84</v>
      </c>
      <c r="D24" s="3" t="s">
        <v>109</v>
      </c>
    </row>
    <row r="25" spans="1:4" ht="15.75" thickBot="1" x14ac:dyDescent="0.3">
      <c r="A25" s="2" t="s">
        <v>34</v>
      </c>
      <c r="B25" s="3" t="s">
        <v>59</v>
      </c>
      <c r="C25" s="3" t="s">
        <v>85</v>
      </c>
      <c r="D25" s="3" t="s">
        <v>34</v>
      </c>
    </row>
    <row r="26" spans="1:4" ht="15.75" thickBot="1" x14ac:dyDescent="0.3">
      <c r="A26" s="2" t="s">
        <v>35</v>
      </c>
      <c r="B26" s="3" t="s">
        <v>60</v>
      </c>
      <c r="C26" s="3" t="s">
        <v>86</v>
      </c>
      <c r="D26" s="3" t="s">
        <v>110</v>
      </c>
    </row>
    <row r="27" spans="1:4" ht="15.75" thickBot="1" x14ac:dyDescent="0.3">
      <c r="A27" s="2" t="s">
        <v>36</v>
      </c>
      <c r="B27" s="3" t="s">
        <v>61</v>
      </c>
      <c r="C27" s="3" t="s">
        <v>87</v>
      </c>
      <c r="D27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CaseConverter</vt:lpstr>
      <vt:lpstr>DataMap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Project: vba-coding-case-formatter | License: MIT</dc:description>
  <dcterms:created xsi:type="dcterms:W3CDTF">2015-06-05T18:17:20Z</dcterms:created>
  <dcterms:modified xsi:type="dcterms:W3CDTF">2026-07-17T15:05:05Z</dcterms:modified>
</cp:coreProperties>
</file>